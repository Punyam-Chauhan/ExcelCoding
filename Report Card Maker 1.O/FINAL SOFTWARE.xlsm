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 Class\Desktop\"/>
    </mc:Choice>
  </mc:AlternateContent>
  <xr:revisionPtr revIDLastSave="0" documentId="8_{4A59205B-F380-49A7-A941-9E958B1740FB}" xr6:coauthVersionLast="45" xr6:coauthVersionMax="45" xr10:uidLastSave="{00000000-0000-0000-0000-000000000000}"/>
  <bookViews>
    <workbookView xWindow="-120" yWindow="-120" windowWidth="15600" windowHeight="11160" activeTab="1" xr2:uid="{70E82ADC-47E1-475A-AA4A-9504FA5CD70E}"/>
  </bookViews>
  <sheets>
    <sheet name="HOMESHEET" sheetId="2" r:id="rId1"/>
    <sheet name="REPORT" sheetId="1" r:id="rId2"/>
    <sheet name="StudentSheet" sheetId="3" r:id="rId3"/>
    <sheet name="Marks" sheetId="7" r:id="rId4"/>
    <sheet name="Sheet5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  <c r="K9" i="1" s="1"/>
  <c r="I1" i="7"/>
  <c r="D20" i="7"/>
  <c r="C20" i="7"/>
  <c r="B20" i="7"/>
  <c r="D19" i="7"/>
  <c r="C19" i="7"/>
  <c r="B19" i="7"/>
  <c r="D18" i="7"/>
  <c r="C18" i="7"/>
  <c r="B18" i="7"/>
  <c r="D17" i="7"/>
  <c r="C17" i="7"/>
  <c r="B17" i="7"/>
  <c r="D16" i="7"/>
  <c r="C16" i="7"/>
  <c r="B16" i="7"/>
  <c r="D15" i="7"/>
  <c r="C15" i="7"/>
  <c r="B15" i="7"/>
  <c r="D14" i="7"/>
  <c r="C14" i="7"/>
  <c r="B14" i="7"/>
  <c r="D13" i="7"/>
  <c r="C13" i="7"/>
  <c r="B13" i="7"/>
  <c r="D12" i="7"/>
  <c r="C12" i="7"/>
  <c r="B12" i="7"/>
  <c r="D11" i="7"/>
  <c r="C11" i="7"/>
  <c r="B11" i="7"/>
  <c r="D10" i="7"/>
  <c r="C10" i="7"/>
  <c r="B10" i="7"/>
  <c r="D9" i="7"/>
  <c r="C9" i="7"/>
  <c r="B9" i="7"/>
  <c r="D8" i="7"/>
  <c r="C8" i="7"/>
  <c r="B8" i="7"/>
  <c r="D7" i="7"/>
  <c r="C7" i="7"/>
  <c r="B7" i="7"/>
  <c r="D6" i="7"/>
  <c r="C6" i="7"/>
  <c r="B6" i="7"/>
  <c r="D5" i="7"/>
  <c r="C5" i="7"/>
  <c r="B5" i="7"/>
  <c r="A5" i="7"/>
  <c r="D4" i="7"/>
  <c r="C4" i="7"/>
  <c r="B4" i="7"/>
  <c r="A20" i="7"/>
  <c r="A6" i="7"/>
  <c r="A7" i="7"/>
  <c r="A8" i="7"/>
  <c r="A9" i="7"/>
  <c r="A10" i="7"/>
  <c r="A11" i="7"/>
  <c r="A12" i="7"/>
  <c r="H25" i="1" s="1"/>
  <c r="A13" i="7"/>
  <c r="A14" i="7"/>
  <c r="A15" i="7"/>
  <c r="A16" i="7"/>
  <c r="A17" i="7"/>
  <c r="A18" i="7"/>
  <c r="A19" i="7"/>
  <c r="H24" i="1" s="1"/>
  <c r="A4" i="7"/>
  <c r="J10" i="1" l="1"/>
  <c r="G15" i="1"/>
  <c r="G17" i="1"/>
  <c r="G19" i="1"/>
  <c r="D9" i="1"/>
  <c r="E10" i="1"/>
  <c r="G14" i="1"/>
  <c r="G16" i="1"/>
  <c r="G18" i="1"/>
  <c r="H23" i="1"/>
  <c r="K40" i="1" l="1"/>
  <c r="C40" i="1"/>
  <c r="K5" i="1"/>
  <c r="H6" i="1"/>
  <c r="F5" i="1"/>
  <c r="D2" i="1"/>
  <c r="I14" i="1" l="1"/>
  <c r="I15" i="1"/>
  <c r="I17" i="1"/>
  <c r="I19" i="1"/>
  <c r="I16" i="1"/>
  <c r="I18" i="1"/>
</calcChain>
</file>

<file path=xl/sharedStrings.xml><?xml version="1.0" encoding="utf-8"?>
<sst xmlns="http://schemas.openxmlformats.org/spreadsheetml/2006/main" count="88" uniqueCount="66">
  <si>
    <t>Class</t>
  </si>
  <si>
    <t>Class Teacher</t>
  </si>
  <si>
    <t>Principle</t>
  </si>
  <si>
    <t>Date</t>
  </si>
  <si>
    <t>School</t>
  </si>
  <si>
    <t>Address</t>
  </si>
  <si>
    <t>Cbse Affilation No.</t>
  </si>
  <si>
    <t>Students Of Class-</t>
  </si>
  <si>
    <t>Section</t>
  </si>
  <si>
    <t>B</t>
  </si>
  <si>
    <t>Name</t>
  </si>
  <si>
    <t>Admission No.</t>
  </si>
  <si>
    <t>Father Name</t>
  </si>
  <si>
    <t>Mother Name</t>
  </si>
  <si>
    <t>Maths</t>
  </si>
  <si>
    <t>English</t>
  </si>
  <si>
    <t>Hindi</t>
  </si>
  <si>
    <t>S.st.</t>
  </si>
  <si>
    <t>Science</t>
  </si>
  <si>
    <t>Computer</t>
  </si>
  <si>
    <t>Art</t>
  </si>
  <si>
    <t>G.K.</t>
  </si>
  <si>
    <t>Dance &amp; Music</t>
  </si>
  <si>
    <t>A</t>
  </si>
  <si>
    <t>C</t>
  </si>
  <si>
    <t>D</t>
  </si>
  <si>
    <t>E</t>
  </si>
  <si>
    <t>Add.</t>
  </si>
  <si>
    <t>C.B.S.E. Affilation No.</t>
  </si>
  <si>
    <t>Class-</t>
  </si>
  <si>
    <t>Father's Name</t>
  </si>
  <si>
    <t>Mother's Name</t>
  </si>
  <si>
    <t>Report Card</t>
  </si>
  <si>
    <t>Subject</t>
  </si>
  <si>
    <t>Marks</t>
  </si>
  <si>
    <t>Grade</t>
  </si>
  <si>
    <t>A1</t>
  </si>
  <si>
    <t>A2</t>
  </si>
  <si>
    <t>B1</t>
  </si>
  <si>
    <t>B2</t>
  </si>
  <si>
    <t>C1</t>
  </si>
  <si>
    <t>C2</t>
  </si>
  <si>
    <t>&gt;90</t>
  </si>
  <si>
    <t>&lt;30</t>
  </si>
  <si>
    <t>&gt;80</t>
  </si>
  <si>
    <t>&gt;70</t>
  </si>
  <si>
    <t>&gt;60</t>
  </si>
  <si>
    <t>&gt;50</t>
  </si>
  <si>
    <t>&gt;40</t>
  </si>
  <si>
    <t>&gt;30</t>
  </si>
  <si>
    <t xml:space="preserve"> </t>
  </si>
  <si>
    <t>On 5 POINTS GRADING SCALE(A,B,C,D,E)</t>
  </si>
  <si>
    <t>Art And Craft</t>
  </si>
  <si>
    <t>General Knowledge</t>
  </si>
  <si>
    <t>Music And Dance</t>
  </si>
  <si>
    <t>Scale</t>
  </si>
  <si>
    <t>Outstanding</t>
  </si>
  <si>
    <t>Excellent</t>
  </si>
  <si>
    <t>Very Good</t>
  </si>
  <si>
    <t>Good</t>
  </si>
  <si>
    <t>Average</t>
  </si>
  <si>
    <t>Mavellous</t>
  </si>
  <si>
    <t>Below Average</t>
  </si>
  <si>
    <t>Need Major Improvement</t>
  </si>
  <si>
    <t>5 Points Scale</t>
  </si>
  <si>
    <t>Parent/Guardian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</si>
</sst>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i/>
      <u val="double"/>
      <sz val="22"/>
      <color theme="1"/>
      <name val="Calibri"/>
      <family val="2"/>
      <scheme val="minor"/>
    </font>
    <font>
      <sz val="12.3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0" xfId="0" applyBorder="1"/>
    <xf numFmtId="0" fontId="0" fillId="0" borderId="2" xfId="0" applyBorder="1"/>
    <xf numFmtId="0" fontId="3" fillId="0" borderId="3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4" fillId="0" borderId="4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0" fontId="4" fillId="0" borderId="5" xfId="0" applyFont="1" applyBorder="1"/>
    <xf numFmtId="0" fontId="4" fillId="0" borderId="0" xfId="0" applyFont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0" xfId="0" applyFont="1" applyBorder="1" applyAlignment="1">
      <alignment horizontal="left"/>
    </xf>
    <xf numFmtId="0" fontId="4" fillId="0" borderId="9" xfId="0" applyFont="1" applyBorder="1"/>
    <xf numFmtId="0" fontId="4" fillId="0" borderId="12" xfId="0" applyFont="1" applyBorder="1"/>
    <xf numFmtId="0" fontId="4" fillId="0" borderId="0" xfId="0" applyFont="1" applyBorder="1" applyAlignment="1"/>
    <xf numFmtId="0" fontId="4" fillId="0" borderId="9" xfId="0" applyFont="1" applyBorder="1" applyAlignment="1">
      <alignment horizontal="left"/>
    </xf>
    <xf numFmtId="0" fontId="4" fillId="0" borderId="13" xfId="0" applyFont="1" applyBorder="1"/>
    <xf numFmtId="0" fontId="4" fillId="0" borderId="15" xfId="0" applyFont="1" applyBorder="1"/>
    <xf numFmtId="0" fontId="4" fillId="0" borderId="16" xfId="0" applyFont="1" applyBorder="1"/>
    <xf numFmtId="0" fontId="4" fillId="0" borderId="17" xfId="0" applyFont="1" applyBorder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0" fontId="6" fillId="0" borderId="0" xfId="0" applyFont="1"/>
    <xf numFmtId="0" fontId="6" fillId="2" borderId="10" xfId="0" applyFont="1" applyFill="1" applyBorder="1"/>
    <xf numFmtId="14" fontId="6" fillId="2" borderId="10" xfId="0" applyNumberFormat="1" applyFont="1" applyFill="1" applyBorder="1"/>
    <xf numFmtId="14" fontId="4" fillId="0" borderId="0" xfId="0" applyNumberFormat="1" applyFont="1" applyBorder="1" applyAlignment="1">
      <alignment vertical="center"/>
    </xf>
    <xf numFmtId="0" fontId="6" fillId="3" borderId="0" xfId="0" applyFont="1" applyFill="1"/>
    <xf numFmtId="0" fontId="6" fillId="2" borderId="21" xfId="0" applyFont="1" applyFill="1" applyBorder="1"/>
    <xf numFmtId="0" fontId="6" fillId="2" borderId="22" xfId="0" applyFont="1" applyFill="1" applyBorder="1"/>
    <xf numFmtId="0" fontId="6" fillId="2" borderId="23" xfId="0" applyFont="1" applyFill="1" applyBorder="1"/>
    <xf numFmtId="0" fontId="6" fillId="2" borderId="24" xfId="0" applyFont="1" applyFill="1" applyBorder="1"/>
    <xf numFmtId="0" fontId="6" fillId="2" borderId="18" xfId="0" applyFont="1" applyFill="1" applyBorder="1"/>
    <xf numFmtId="0" fontId="6" fillId="2" borderId="25" xfId="0" applyFont="1" applyFill="1" applyBorder="1"/>
    <xf numFmtId="0" fontId="6" fillId="2" borderId="26" xfId="0" applyFont="1" applyFill="1" applyBorder="1"/>
    <xf numFmtId="0" fontId="6" fillId="2" borderId="27" xfId="0" applyFont="1" applyFill="1" applyBorder="1"/>
    <xf numFmtId="0" fontId="2" fillId="4" borderId="29" xfId="0" applyFont="1" applyFill="1" applyBorder="1" applyAlignment="1">
      <alignment vertical="center"/>
    </xf>
    <xf numFmtId="0" fontId="0" fillId="4" borderId="29" xfId="0" applyFill="1" applyBorder="1"/>
    <xf numFmtId="164" fontId="0" fillId="4" borderId="29" xfId="0" applyNumberFormat="1" applyFill="1" applyBorder="1"/>
    <xf numFmtId="0" fontId="7" fillId="5" borderId="29" xfId="0" applyFont="1" applyFill="1" applyBorder="1"/>
    <xf numFmtId="0" fontId="8" fillId="5" borderId="29" xfId="0" applyFont="1" applyFill="1" applyBorder="1" applyAlignment="1">
      <alignment vertical="center"/>
    </xf>
    <xf numFmtId="0" fontId="7" fillId="5" borderId="32" xfId="0" applyFont="1" applyFill="1" applyBorder="1"/>
    <xf numFmtId="0" fontId="7" fillId="5" borderId="0" xfId="0" applyFont="1" applyFill="1" applyBorder="1"/>
    <xf numFmtId="0" fontId="7" fillId="5" borderId="28" xfId="0" applyFont="1" applyFill="1" applyBorder="1"/>
    <xf numFmtId="0" fontId="4" fillId="0" borderId="9" xfId="0" applyFont="1" applyBorder="1"/>
    <xf numFmtId="0" fontId="5" fillId="0" borderId="9" xfId="0" applyFont="1" applyBorder="1"/>
    <xf numFmtId="0" fontId="4" fillId="0" borderId="9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0" xfId="0" applyFont="1" applyBorder="1"/>
    <xf numFmtId="0" fontId="4" fillId="0" borderId="11" xfId="0" applyFont="1" applyBorder="1"/>
    <xf numFmtId="0" fontId="4" fillId="0" borderId="0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left" vertical="center"/>
    </xf>
    <xf numFmtId="0" fontId="8" fillId="5" borderId="30" xfId="0" applyFont="1" applyFill="1" applyBorder="1" applyAlignment="1">
      <alignment horizontal="right" vertical="center"/>
    </xf>
    <xf numFmtId="0" fontId="8" fillId="5" borderId="29" xfId="0" applyFont="1" applyFill="1" applyBorder="1" applyAlignment="1">
      <alignment horizontal="right" vertical="center"/>
    </xf>
    <xf numFmtId="0" fontId="8" fillId="5" borderId="31" xfId="0" applyFont="1" applyFill="1" applyBorder="1" applyAlignment="1">
      <alignment horizontal="right" vertical="center"/>
    </xf>
    <xf numFmtId="0" fontId="8" fillId="5" borderId="30" xfId="0" applyFont="1" applyFill="1" applyBorder="1" applyAlignment="1">
      <alignment horizontal="left" vertical="center"/>
    </xf>
    <xf numFmtId="0" fontId="8" fillId="5" borderId="29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1</xdr:row>
      <xdr:rowOff>28575</xdr:rowOff>
    </xdr:from>
    <xdr:to>
      <xdr:col>3</xdr:col>
      <xdr:colOff>76200</xdr:colOff>
      <xdr:row>5</xdr:row>
      <xdr:rowOff>9525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71DE3557-D3F5-42AF-A7AD-DC9671AAE34B}"/>
            </a:ext>
          </a:extLst>
        </xdr:cNvPr>
        <xdr:cNvSpPr/>
      </xdr:nvSpPr>
      <xdr:spPr>
        <a:xfrm>
          <a:off x="514350" y="228600"/>
          <a:ext cx="781050" cy="7524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 i="1"/>
            <a:t>School </a:t>
          </a:r>
        </a:p>
        <a:p>
          <a:pPr algn="ctr"/>
          <a:r>
            <a:rPr lang="en-IN" sz="1200" b="1" i="1"/>
            <a:t>Logo</a:t>
          </a:r>
        </a:p>
        <a:p>
          <a:pPr algn="ctr"/>
          <a:r>
            <a:rPr lang="en-IN" sz="1200" b="1" i="1"/>
            <a:t>Here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8377D-15A5-4EEA-B458-5BD71C097904}">
  <sheetPr codeName="Sheet1"/>
  <dimension ref="A1:E18"/>
  <sheetViews>
    <sheetView workbookViewId="0">
      <selection activeCell="E8" sqref="E8"/>
    </sheetView>
  </sheetViews>
  <sheetFormatPr defaultColWidth="0" defaultRowHeight="21" zeroHeight="1" x14ac:dyDescent="0.35"/>
  <cols>
    <col min="1" max="1" width="9.140625" style="31" customWidth="1"/>
    <col min="2" max="2" width="26.28515625" style="27" customWidth="1"/>
    <col min="3" max="3" width="15.7109375" style="27" bestFit="1" customWidth="1"/>
    <col min="4" max="4" width="16.5703125" style="27" customWidth="1"/>
    <col min="5" max="5" width="9.140625" style="31" customWidth="1"/>
    <col min="6" max="16384" width="9.140625" style="27" hidden="1"/>
  </cols>
  <sheetData>
    <row r="1" spans="2:4" s="31" customFormat="1" x14ac:dyDescent="0.35"/>
    <row r="2" spans="2:4" s="31" customFormat="1" ht="21.75" thickBot="1" x14ac:dyDescent="0.4"/>
    <row r="3" spans="2:4" x14ac:dyDescent="0.35">
      <c r="B3" s="32" t="s">
        <v>0</v>
      </c>
      <c r="C3" s="33"/>
      <c r="D3" s="34"/>
    </row>
    <row r="4" spans="2:4" x14ac:dyDescent="0.35">
      <c r="B4" s="35" t="s">
        <v>8</v>
      </c>
      <c r="C4" s="28"/>
      <c r="D4" s="36"/>
    </row>
    <row r="5" spans="2:4" x14ac:dyDescent="0.35">
      <c r="B5" s="35" t="s">
        <v>1</v>
      </c>
      <c r="C5" s="28"/>
      <c r="D5" s="36"/>
    </row>
    <row r="6" spans="2:4" x14ac:dyDescent="0.35">
      <c r="B6" s="35" t="s">
        <v>2</v>
      </c>
      <c r="C6" s="28"/>
      <c r="D6" s="36"/>
    </row>
    <row r="7" spans="2:4" x14ac:dyDescent="0.35">
      <c r="B7" s="35" t="s">
        <v>3</v>
      </c>
      <c r="C7" s="29"/>
      <c r="D7" s="36"/>
    </row>
    <row r="8" spans="2:4" x14ac:dyDescent="0.35">
      <c r="B8" s="35" t="s">
        <v>4</v>
      </c>
      <c r="C8" s="28"/>
      <c r="D8" s="36"/>
    </row>
    <row r="9" spans="2:4" x14ac:dyDescent="0.35">
      <c r="B9" s="35" t="s">
        <v>5</v>
      </c>
      <c r="C9" s="28"/>
      <c r="D9" s="36"/>
    </row>
    <row r="10" spans="2:4" ht="21.75" thickBot="1" x14ac:dyDescent="0.4">
      <c r="B10" s="37" t="s">
        <v>6</v>
      </c>
      <c r="C10" s="38"/>
      <c r="D10" s="39"/>
    </row>
    <row r="11" spans="2:4" s="31" customFormat="1" x14ac:dyDescent="0.35"/>
    <row r="12" spans="2:4" s="31" customFormat="1" x14ac:dyDescent="0.35"/>
    <row r="13" spans="2:4" hidden="1" x14ac:dyDescent="0.35"/>
    <row r="14" spans="2:4" hidden="1" x14ac:dyDescent="0.35"/>
    <row r="15" spans="2:4" hidden="1" x14ac:dyDescent="0.35"/>
    <row r="16" spans="2:4" hidden="1" x14ac:dyDescent="0.35"/>
    <row r="17" hidden="1" x14ac:dyDescent="0.35"/>
    <row r="18" hidden="1" x14ac:dyDescent="0.3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7B71C-5B70-41D5-8BE7-783C93EFE752}">
  <sheetPr codeName="Sheet2"/>
  <dimension ref="A1:N43"/>
  <sheetViews>
    <sheetView tabSelected="1" zoomScaleNormal="100" workbookViewId="0">
      <selection activeCell="C11" sqref="C11:L11"/>
    </sheetView>
  </sheetViews>
  <sheetFormatPr defaultColWidth="0" defaultRowHeight="15.75" zeroHeight="1" x14ac:dyDescent="0.25"/>
  <cols>
    <col min="1" max="1" width="4.7109375" style="11" customWidth="1"/>
    <col min="2" max="2" width="4.42578125" style="11" customWidth="1"/>
    <col min="3" max="5" width="9.140625" style="11" customWidth="1"/>
    <col min="6" max="6" width="11.140625" style="11" customWidth="1"/>
    <col min="7" max="7" width="14.42578125" style="11" customWidth="1"/>
    <col min="8" max="10" width="9.140625" style="11" customWidth="1"/>
    <col min="11" max="11" width="11.5703125" style="11" bestFit="1" customWidth="1"/>
    <col min="12" max="12" width="9.140625" style="11" customWidth="1"/>
    <col min="13" max="13" width="4.7109375" style="11" customWidth="1"/>
    <col min="14" max="14" width="4.5703125" style="11" customWidth="1"/>
    <col min="15" max="16384" width="9.140625" style="11" hidden="1"/>
  </cols>
  <sheetData>
    <row r="1" spans="2:13" customFormat="1" thickBot="1" x14ac:dyDescent="0.3"/>
    <row r="2" spans="2:13" customFormat="1" ht="15" customHeight="1" x14ac:dyDescent="0.25">
      <c r="B2" s="1"/>
      <c r="C2" s="4"/>
      <c r="D2" s="56">
        <f>HOMESHEET!C8</f>
        <v>0</v>
      </c>
      <c r="E2" s="56"/>
      <c r="F2" s="56"/>
      <c r="G2" s="56"/>
      <c r="H2" s="56"/>
      <c r="I2" s="56"/>
      <c r="J2" s="56"/>
      <c r="K2" s="56"/>
      <c r="L2" s="56"/>
      <c r="M2" s="5"/>
    </row>
    <row r="3" spans="2:13" customFormat="1" ht="15" customHeight="1" x14ac:dyDescent="0.25">
      <c r="B3" s="2"/>
      <c r="C3" s="3"/>
      <c r="D3" s="57"/>
      <c r="E3" s="57"/>
      <c r="F3" s="57"/>
      <c r="G3" s="57"/>
      <c r="H3" s="57"/>
      <c r="I3" s="57"/>
      <c r="J3" s="57"/>
      <c r="K3" s="57"/>
      <c r="L3" s="57"/>
      <c r="M3" s="6"/>
    </row>
    <row r="4" spans="2:13" customFormat="1" ht="15" customHeight="1" x14ac:dyDescent="0.25">
      <c r="B4" s="2"/>
      <c r="C4" s="3"/>
      <c r="D4" s="57"/>
      <c r="E4" s="57"/>
      <c r="F4" s="57"/>
      <c r="G4" s="57"/>
      <c r="H4" s="57"/>
      <c r="I4" s="57"/>
      <c r="J4" s="57"/>
      <c r="K4" s="57"/>
      <c r="L4" s="57"/>
      <c r="M4" s="6"/>
    </row>
    <row r="5" spans="2:13" x14ac:dyDescent="0.25">
      <c r="B5" s="7"/>
      <c r="C5" s="8"/>
      <c r="D5" s="8"/>
      <c r="E5" s="9" t="s">
        <v>27</v>
      </c>
      <c r="F5" s="54">
        <f>HOMESHEET!C9</f>
        <v>0</v>
      </c>
      <c r="G5" s="54"/>
      <c r="H5" s="54"/>
      <c r="I5" s="54"/>
      <c r="J5" s="54"/>
      <c r="K5" s="30">
        <f>HOMESHEET!C7</f>
        <v>0</v>
      </c>
      <c r="L5" s="8"/>
      <c r="M5" s="10"/>
    </row>
    <row r="6" spans="2:13" x14ac:dyDescent="0.25">
      <c r="B6" s="7"/>
      <c r="C6" s="8"/>
      <c r="D6" s="8"/>
      <c r="E6" s="8"/>
      <c r="F6" s="51" t="s">
        <v>28</v>
      </c>
      <c r="G6" s="51"/>
      <c r="H6" s="8">
        <f>HOMESHEET!C10</f>
        <v>0</v>
      </c>
      <c r="I6" s="8"/>
      <c r="J6" s="8"/>
      <c r="K6" s="8"/>
      <c r="L6" s="8"/>
      <c r="M6" s="10"/>
    </row>
    <row r="7" spans="2:13" ht="16.5" thickBot="1" x14ac:dyDescent="0.3">
      <c r="B7" s="12"/>
      <c r="C7" s="13"/>
      <c r="D7" s="13"/>
      <c r="E7" s="13"/>
      <c r="F7" s="13"/>
      <c r="G7" s="13"/>
      <c r="H7" s="13"/>
      <c r="I7" s="13"/>
      <c r="J7" s="13"/>
      <c r="K7" s="13"/>
      <c r="L7" s="13"/>
      <c r="M7" s="14"/>
    </row>
    <row r="8" spans="2:13" x14ac:dyDescent="0.25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10"/>
    </row>
    <row r="9" spans="2:13" ht="18" customHeight="1" x14ac:dyDescent="0.25">
      <c r="B9" s="7"/>
      <c r="C9" s="8" t="s">
        <v>10</v>
      </c>
      <c r="D9" s="51">
        <f>VLOOKUP(H9,Marks!A4:M1000,4)</f>
        <v>0</v>
      </c>
      <c r="E9" s="51"/>
      <c r="F9" s="8"/>
      <c r="G9" s="8" t="s">
        <v>11</v>
      </c>
      <c r="H9" s="15">
        <v>1</v>
      </c>
      <c r="I9" s="8"/>
      <c r="J9" s="8" t="s">
        <v>29</v>
      </c>
      <c r="K9" s="8" t="str">
        <f>StudentSheet!D1</f>
        <v>-</v>
      </c>
      <c r="L9" s="8"/>
      <c r="M9" s="10"/>
    </row>
    <row r="10" spans="2:13" x14ac:dyDescent="0.25">
      <c r="B10" s="21"/>
      <c r="C10" s="17" t="s">
        <v>30</v>
      </c>
      <c r="E10" s="17" t="str">
        <f>PROPER(VLOOKUP($H$9,Marks!$A$4:$N$20,2,2))</f>
        <v>0</v>
      </c>
      <c r="F10" s="17"/>
      <c r="G10" s="17"/>
      <c r="H10" s="17" t="s">
        <v>31</v>
      </c>
      <c r="I10" s="17"/>
      <c r="J10" s="17" t="str">
        <f>PROPER(VLOOKUP($H$9,Marks!$A$4:$N$20,3,2))</f>
        <v>0</v>
      </c>
      <c r="K10" s="17"/>
      <c r="L10" s="17"/>
      <c r="M10" s="22"/>
    </row>
    <row r="11" spans="2:13" ht="18.75" x14ac:dyDescent="0.25">
      <c r="B11" s="23"/>
      <c r="C11" s="55" t="s">
        <v>32</v>
      </c>
      <c r="D11" s="55"/>
      <c r="E11" s="55"/>
      <c r="F11" s="55"/>
      <c r="G11" s="55"/>
      <c r="H11" s="55"/>
      <c r="I11" s="55"/>
      <c r="J11" s="55"/>
      <c r="K11" s="55"/>
      <c r="L11" s="55"/>
      <c r="M11" s="24"/>
    </row>
    <row r="12" spans="2:13" x14ac:dyDescent="0.25">
      <c r="B12" s="25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6"/>
    </row>
    <row r="13" spans="2:13" x14ac:dyDescent="0.25">
      <c r="B13" s="7"/>
      <c r="C13" s="18"/>
      <c r="D13" s="8"/>
      <c r="E13" s="50" t="s">
        <v>33</v>
      </c>
      <c r="F13" s="50"/>
      <c r="G13" s="50" t="s">
        <v>34</v>
      </c>
      <c r="H13" s="50"/>
      <c r="I13" s="50" t="s">
        <v>35</v>
      </c>
      <c r="J13" s="50"/>
      <c r="K13" s="8"/>
      <c r="L13" s="8"/>
      <c r="M13" s="10"/>
    </row>
    <row r="14" spans="2:13" x14ac:dyDescent="0.25">
      <c r="B14" s="7"/>
      <c r="C14" s="8"/>
      <c r="D14" s="8"/>
      <c r="E14" s="48" t="s">
        <v>14</v>
      </c>
      <c r="F14" s="48"/>
      <c r="G14" s="52">
        <f>VLOOKUP($H$9,Marks!$A$4:$N$20,5,1)</f>
        <v>0</v>
      </c>
      <c r="H14" s="53"/>
      <c r="I14" s="48" t="str">
        <f>IF(G14&gt;90.9,"A1",IF(G14&gt;80.9,"A2",IF(G14&gt;70.9,"B1",IF(G14&gt;60.9,"B2",IF(G14&gt;50.9,"C1",IF(G14&gt;40.9,"C2",IF(G14&gt;30.9,"D",IF(G14&lt;=30.8,"E"))))))))</f>
        <v>E</v>
      </c>
      <c r="J14" s="48"/>
      <c r="K14" s="8"/>
      <c r="L14" s="8"/>
      <c r="M14" s="10"/>
    </row>
    <row r="15" spans="2:13" x14ac:dyDescent="0.25">
      <c r="B15" s="7"/>
      <c r="C15" s="8"/>
      <c r="D15" s="8"/>
      <c r="E15" s="48" t="s">
        <v>15</v>
      </c>
      <c r="F15" s="48"/>
      <c r="G15" s="52">
        <f>VLOOKUP($H$9,Marks!$A$4:$N$20,6,1)</f>
        <v>0</v>
      </c>
      <c r="H15" s="53"/>
      <c r="I15" s="48" t="str">
        <f t="shared" ref="I15:I19" si="0">IF(G15&gt;90.9,"A1",IF(G15&gt;80.9,"A2",IF(G15&gt;70.9,"B1",IF(G15&gt;60.9,"B2",IF(G15&gt;50.9,"C1",IF(G15&gt;40.9,"C2",IF(G15&gt;30.9,"D",IF(G15&lt;=30.8,"E"))))))))</f>
        <v>E</v>
      </c>
      <c r="J15" s="48"/>
      <c r="K15" s="8"/>
      <c r="L15" s="8"/>
      <c r="M15" s="10"/>
    </row>
    <row r="16" spans="2:13" x14ac:dyDescent="0.25">
      <c r="B16" s="7"/>
      <c r="C16" s="8"/>
      <c r="D16" s="8"/>
      <c r="E16" s="48" t="s">
        <v>16</v>
      </c>
      <c r="F16" s="48"/>
      <c r="G16" s="52">
        <f>VLOOKUP($H$9,Marks!$A$4:$N$20,7,1)</f>
        <v>0</v>
      </c>
      <c r="H16" s="53"/>
      <c r="I16" s="48" t="str">
        <f t="shared" si="0"/>
        <v>E</v>
      </c>
      <c r="J16" s="48"/>
      <c r="K16" s="8"/>
      <c r="L16" s="8"/>
      <c r="M16" s="10"/>
    </row>
    <row r="17" spans="2:13" x14ac:dyDescent="0.25">
      <c r="B17" s="7"/>
      <c r="C17" s="8"/>
      <c r="D17" s="8"/>
      <c r="E17" s="48" t="s">
        <v>17</v>
      </c>
      <c r="F17" s="48"/>
      <c r="G17" s="48">
        <f>VLOOKUP($H$9,Marks!$A$4:$N$20,8,1)</f>
        <v>0</v>
      </c>
      <c r="H17" s="48"/>
      <c r="I17" s="48" t="str">
        <f t="shared" si="0"/>
        <v>E</v>
      </c>
      <c r="J17" s="48"/>
      <c r="K17" s="8"/>
      <c r="L17" s="8"/>
      <c r="M17" s="10"/>
    </row>
    <row r="18" spans="2:13" x14ac:dyDescent="0.25">
      <c r="B18" s="7"/>
      <c r="C18" s="8"/>
      <c r="D18" s="8"/>
      <c r="E18" s="48" t="s">
        <v>18</v>
      </c>
      <c r="F18" s="48"/>
      <c r="G18" s="48">
        <f>VLOOKUP($H$9,Marks!$A$4:$N$20,9,1)</f>
        <v>0</v>
      </c>
      <c r="H18" s="48"/>
      <c r="I18" s="48" t="str">
        <f t="shared" si="0"/>
        <v>E</v>
      </c>
      <c r="J18" s="48"/>
      <c r="K18" s="8"/>
      <c r="L18" s="8"/>
      <c r="M18" s="10"/>
    </row>
    <row r="19" spans="2:13" x14ac:dyDescent="0.25">
      <c r="B19" s="7"/>
      <c r="C19" s="8"/>
      <c r="D19" s="8"/>
      <c r="E19" s="48" t="s">
        <v>19</v>
      </c>
      <c r="F19" s="48"/>
      <c r="G19" s="48">
        <f>VLOOKUP($H$9,Marks!$A$4:$N$20,10,1)</f>
        <v>0</v>
      </c>
      <c r="H19" s="48"/>
      <c r="I19" s="48" t="str">
        <f t="shared" si="0"/>
        <v>E</v>
      </c>
      <c r="J19" s="48"/>
      <c r="K19" s="8"/>
      <c r="L19" s="8"/>
      <c r="M19" s="10"/>
    </row>
    <row r="20" spans="2:13" x14ac:dyDescent="0.25">
      <c r="B20" s="7"/>
      <c r="C20" s="8"/>
      <c r="D20" s="8"/>
      <c r="E20" s="18"/>
      <c r="F20" s="18"/>
      <c r="G20" s="8"/>
      <c r="H20" s="8"/>
      <c r="I20" s="8"/>
      <c r="J20" s="8"/>
      <c r="K20" s="8"/>
      <c r="L20" s="8"/>
      <c r="M20" s="10"/>
    </row>
    <row r="21" spans="2:13" x14ac:dyDescent="0.25">
      <c r="B21" s="7"/>
      <c r="C21" s="8"/>
      <c r="D21" s="8"/>
      <c r="E21" s="18"/>
      <c r="F21" s="18"/>
      <c r="G21" s="8"/>
      <c r="H21" s="8"/>
      <c r="I21" s="8"/>
      <c r="J21" s="8"/>
      <c r="K21" s="8"/>
      <c r="L21" s="8"/>
      <c r="M21" s="10"/>
    </row>
    <row r="22" spans="2:13" x14ac:dyDescent="0.25">
      <c r="B22" s="7"/>
      <c r="C22" s="8"/>
      <c r="D22" s="50" t="s">
        <v>51</v>
      </c>
      <c r="E22" s="50"/>
      <c r="F22" s="50"/>
      <c r="G22" s="50"/>
      <c r="H22" s="50"/>
      <c r="I22" s="50"/>
      <c r="J22" s="50"/>
      <c r="K22" s="50"/>
      <c r="L22" s="8"/>
      <c r="M22" s="10"/>
    </row>
    <row r="23" spans="2:13" x14ac:dyDescent="0.25">
      <c r="B23" s="7"/>
      <c r="C23" s="8"/>
      <c r="D23" s="50" t="s">
        <v>52</v>
      </c>
      <c r="E23" s="50"/>
      <c r="F23" s="50"/>
      <c r="G23" s="50"/>
      <c r="H23" s="50">
        <f>VLOOKUP($H$9,Marks!$A$4:$N$20,11,1)</f>
        <v>0</v>
      </c>
      <c r="I23" s="50"/>
      <c r="J23" s="50"/>
      <c r="K23" s="50"/>
      <c r="L23" s="8"/>
      <c r="M23" s="10"/>
    </row>
    <row r="24" spans="2:13" x14ac:dyDescent="0.25">
      <c r="B24" s="7"/>
      <c r="C24" s="8"/>
      <c r="D24" s="50" t="s">
        <v>53</v>
      </c>
      <c r="E24" s="50"/>
      <c r="F24" s="50"/>
      <c r="G24" s="50"/>
      <c r="H24" s="50">
        <f>VLOOKUP($H$9,Marks!$A$4:$N$20,12,1)</f>
        <v>0</v>
      </c>
      <c r="I24" s="50"/>
      <c r="J24" s="50"/>
      <c r="K24" s="50"/>
      <c r="L24" s="8"/>
      <c r="M24" s="10"/>
    </row>
    <row r="25" spans="2:13" x14ac:dyDescent="0.25">
      <c r="B25" s="7"/>
      <c r="C25" s="8"/>
      <c r="D25" s="50" t="s">
        <v>54</v>
      </c>
      <c r="E25" s="50"/>
      <c r="F25" s="50"/>
      <c r="G25" s="50"/>
      <c r="H25" s="50">
        <f>VLOOKUP($H$9,Marks!$A$4:$N$20,12,1)</f>
        <v>0</v>
      </c>
      <c r="I25" s="50"/>
      <c r="J25" s="50"/>
      <c r="K25" s="50"/>
      <c r="L25" s="8"/>
      <c r="M25" s="10"/>
    </row>
    <row r="26" spans="2:13" x14ac:dyDescent="0.25">
      <c r="B26" s="7"/>
      <c r="C26" s="8"/>
      <c r="D26" s="8"/>
      <c r="E26" s="8"/>
      <c r="F26" s="8"/>
      <c r="G26" s="8"/>
      <c r="H26" s="8"/>
      <c r="I26" s="8"/>
      <c r="J26" s="8" t="s">
        <v>50</v>
      </c>
      <c r="K26" s="8"/>
      <c r="L26" s="8"/>
      <c r="M26" s="10"/>
    </row>
    <row r="27" spans="2:13" x14ac:dyDescent="0.2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10"/>
    </row>
    <row r="28" spans="2:13" x14ac:dyDescent="0.25">
      <c r="B28" s="7"/>
      <c r="C28" s="50" t="s">
        <v>55</v>
      </c>
      <c r="D28" s="50"/>
      <c r="E28" s="50"/>
      <c r="F28" s="50"/>
      <c r="G28" s="8"/>
      <c r="H28" s="8"/>
      <c r="I28" s="8"/>
      <c r="J28" s="8"/>
      <c r="K28" s="50" t="s">
        <v>64</v>
      </c>
      <c r="L28" s="50"/>
      <c r="M28" s="10"/>
    </row>
    <row r="29" spans="2:13" x14ac:dyDescent="0.25">
      <c r="B29" s="7"/>
      <c r="C29" s="16" t="s">
        <v>36</v>
      </c>
      <c r="D29" s="16" t="s">
        <v>42</v>
      </c>
      <c r="E29" s="48" t="s">
        <v>61</v>
      </c>
      <c r="F29" s="48"/>
      <c r="G29" s="8"/>
      <c r="H29" s="8"/>
      <c r="I29" s="8"/>
      <c r="J29" s="8"/>
      <c r="K29" s="16" t="s">
        <v>23</v>
      </c>
      <c r="L29" s="19">
        <v>5</v>
      </c>
      <c r="M29" s="10"/>
    </row>
    <row r="30" spans="2:13" x14ac:dyDescent="0.25">
      <c r="B30" s="7"/>
      <c r="C30" s="16" t="s">
        <v>37</v>
      </c>
      <c r="D30" s="16" t="s">
        <v>44</v>
      </c>
      <c r="E30" s="48" t="s">
        <v>56</v>
      </c>
      <c r="F30" s="48"/>
      <c r="G30" s="8"/>
      <c r="H30" s="8"/>
      <c r="I30" s="8"/>
      <c r="J30" s="8"/>
      <c r="K30" s="16" t="s">
        <v>9</v>
      </c>
      <c r="L30" s="19">
        <v>4</v>
      </c>
      <c r="M30" s="10"/>
    </row>
    <row r="31" spans="2:13" x14ac:dyDescent="0.25">
      <c r="B31" s="7"/>
      <c r="C31" s="16" t="s">
        <v>38</v>
      </c>
      <c r="D31" s="16" t="s">
        <v>45</v>
      </c>
      <c r="E31" s="48" t="s">
        <v>57</v>
      </c>
      <c r="F31" s="48"/>
      <c r="G31" s="8"/>
      <c r="H31" s="8"/>
      <c r="I31" s="8"/>
      <c r="J31" s="8"/>
      <c r="K31" s="16" t="s">
        <v>24</v>
      </c>
      <c r="L31" s="19">
        <v>3</v>
      </c>
      <c r="M31" s="10"/>
    </row>
    <row r="32" spans="2:13" x14ac:dyDescent="0.25">
      <c r="B32" s="7"/>
      <c r="C32" s="16" t="s">
        <v>39</v>
      </c>
      <c r="D32" s="16" t="s">
        <v>46</v>
      </c>
      <c r="E32" s="48" t="s">
        <v>58</v>
      </c>
      <c r="F32" s="48"/>
      <c r="G32" s="8"/>
      <c r="H32" s="8"/>
      <c r="I32" s="8"/>
      <c r="J32" s="8"/>
      <c r="K32" s="16" t="s">
        <v>25</v>
      </c>
      <c r="L32" s="19">
        <v>2</v>
      </c>
      <c r="M32" s="10"/>
    </row>
    <row r="33" spans="2:13" x14ac:dyDescent="0.25">
      <c r="B33" s="7"/>
      <c r="C33" s="16" t="s">
        <v>40</v>
      </c>
      <c r="D33" s="16" t="s">
        <v>47</v>
      </c>
      <c r="E33" s="48" t="s">
        <v>59</v>
      </c>
      <c r="F33" s="48"/>
      <c r="G33" s="8"/>
      <c r="H33" s="8"/>
      <c r="I33" s="8"/>
      <c r="J33" s="8"/>
      <c r="K33" s="16" t="s">
        <v>26</v>
      </c>
      <c r="L33" s="19">
        <v>1</v>
      </c>
      <c r="M33" s="10"/>
    </row>
    <row r="34" spans="2:13" x14ac:dyDescent="0.25">
      <c r="B34" s="7"/>
      <c r="C34" s="16" t="s">
        <v>41</v>
      </c>
      <c r="D34" s="16" t="s">
        <v>48</v>
      </c>
      <c r="E34" s="48" t="s">
        <v>60</v>
      </c>
      <c r="F34" s="48"/>
      <c r="G34" s="8"/>
      <c r="H34" s="8"/>
      <c r="I34" s="8"/>
      <c r="J34" s="8"/>
      <c r="K34" s="8"/>
      <c r="L34" s="8"/>
      <c r="M34" s="10"/>
    </row>
    <row r="35" spans="2:13" x14ac:dyDescent="0.25">
      <c r="B35" s="7"/>
      <c r="C35" s="16" t="s">
        <v>25</v>
      </c>
      <c r="D35" s="16" t="s">
        <v>49</v>
      </c>
      <c r="E35" s="48" t="s">
        <v>62</v>
      </c>
      <c r="F35" s="48"/>
      <c r="G35" s="8"/>
      <c r="H35" s="8"/>
      <c r="I35" s="8"/>
      <c r="J35" s="8"/>
      <c r="K35" s="8"/>
      <c r="L35" s="8"/>
      <c r="M35" s="10"/>
    </row>
    <row r="36" spans="2:13" x14ac:dyDescent="0.25">
      <c r="B36" s="7"/>
      <c r="C36" s="16" t="s">
        <v>26</v>
      </c>
      <c r="D36" s="16" t="s">
        <v>43</v>
      </c>
      <c r="E36" s="49" t="s">
        <v>63</v>
      </c>
      <c r="F36" s="49"/>
      <c r="G36" s="8"/>
      <c r="H36" s="8"/>
      <c r="I36" s="8"/>
      <c r="J36" s="8"/>
      <c r="K36" s="8"/>
      <c r="L36" s="8"/>
      <c r="M36" s="10"/>
    </row>
    <row r="37" spans="2:13" x14ac:dyDescent="0.25"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10"/>
    </row>
    <row r="38" spans="2:13" x14ac:dyDescent="0.25">
      <c r="B38" s="21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22"/>
    </row>
    <row r="39" spans="2:13" x14ac:dyDescent="0.25"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10"/>
    </row>
    <row r="40" spans="2:13" x14ac:dyDescent="0.25">
      <c r="B40" s="7"/>
      <c r="C40" s="51">
        <f>HOMESHEET!C5</f>
        <v>0</v>
      </c>
      <c r="D40" s="51"/>
      <c r="E40" s="8"/>
      <c r="F40" s="8"/>
      <c r="G40" s="51"/>
      <c r="H40" s="51"/>
      <c r="I40" s="8"/>
      <c r="J40" s="8"/>
      <c r="K40" s="51">
        <f>HOMESHEET!C6</f>
        <v>0</v>
      </c>
      <c r="L40" s="51"/>
      <c r="M40" s="10"/>
    </row>
    <row r="41" spans="2:13" x14ac:dyDescent="0.25">
      <c r="B41" s="7"/>
      <c r="C41" s="51" t="s">
        <v>1</v>
      </c>
      <c r="D41" s="51"/>
      <c r="E41" s="8"/>
      <c r="F41" s="8"/>
      <c r="G41" s="51" t="s">
        <v>65</v>
      </c>
      <c r="H41" s="51"/>
      <c r="I41" s="8"/>
      <c r="J41" s="8"/>
      <c r="K41" s="51" t="s">
        <v>2</v>
      </c>
      <c r="L41" s="51"/>
      <c r="M41" s="10"/>
    </row>
    <row r="42" spans="2:13" ht="16.5" thickBot="1" x14ac:dyDescent="0.3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4"/>
    </row>
    <row r="43" spans="2:13" x14ac:dyDescent="0.25"/>
  </sheetData>
  <mergeCells count="49">
    <mergeCell ref="D2:L4"/>
    <mergeCell ref="F6:G6"/>
    <mergeCell ref="I13:J13"/>
    <mergeCell ref="G13:H13"/>
    <mergeCell ref="E13:F13"/>
    <mergeCell ref="D9:E9"/>
    <mergeCell ref="G14:H14"/>
    <mergeCell ref="G15:H15"/>
    <mergeCell ref="E15:F15"/>
    <mergeCell ref="F5:J5"/>
    <mergeCell ref="C11:L11"/>
    <mergeCell ref="I14:J14"/>
    <mergeCell ref="I15:J15"/>
    <mergeCell ref="I16:J16"/>
    <mergeCell ref="I17:J17"/>
    <mergeCell ref="E14:F14"/>
    <mergeCell ref="G16:H16"/>
    <mergeCell ref="G17:H17"/>
    <mergeCell ref="G18:H18"/>
    <mergeCell ref="G19:H19"/>
    <mergeCell ref="E16:F16"/>
    <mergeCell ref="E17:F17"/>
    <mergeCell ref="D22:K22"/>
    <mergeCell ref="I19:J19"/>
    <mergeCell ref="E18:F18"/>
    <mergeCell ref="E19:F19"/>
    <mergeCell ref="D24:G24"/>
    <mergeCell ref="I18:J18"/>
    <mergeCell ref="D25:G25"/>
    <mergeCell ref="H23:K23"/>
    <mergeCell ref="H24:K24"/>
    <mergeCell ref="H25:K25"/>
    <mergeCell ref="D23:G23"/>
    <mergeCell ref="C41:D41"/>
    <mergeCell ref="K41:L41"/>
    <mergeCell ref="G41:H41"/>
    <mergeCell ref="C40:D40"/>
    <mergeCell ref="G40:H40"/>
    <mergeCell ref="K40:L40"/>
    <mergeCell ref="E35:F35"/>
    <mergeCell ref="E36:F36"/>
    <mergeCell ref="C28:F28"/>
    <mergeCell ref="K28:L28"/>
    <mergeCell ref="E29:F29"/>
    <mergeCell ref="E30:F30"/>
    <mergeCell ref="E31:F31"/>
    <mergeCell ref="E32:F32"/>
    <mergeCell ref="E33:F33"/>
    <mergeCell ref="E34:F3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120DF4-CB46-479A-9706-3F2C4B4EA154}">
          <x14:formula1>
            <xm:f>Marks!$A$4:$A$20</xm:f>
          </x14:formula1>
          <xm:sqref>H9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E128A-BA56-41B1-A92A-6A39D03D0E74}">
  <sheetPr codeName="Sheet3"/>
  <dimension ref="A1:J21"/>
  <sheetViews>
    <sheetView zoomScale="130" zoomScaleNormal="130" workbookViewId="0">
      <selection activeCell="C17" sqref="C17"/>
    </sheetView>
  </sheetViews>
  <sheetFormatPr defaultColWidth="0" defaultRowHeight="15.75" zeroHeight="1" thickBottom="1" x14ac:dyDescent="0.3"/>
  <cols>
    <col min="1" max="4" width="15.7109375" style="41" customWidth="1"/>
    <col min="5" max="10" width="0" style="41" hidden="1" customWidth="1"/>
    <col min="11" max="16384" width="9.140625" style="41" hidden="1"/>
  </cols>
  <sheetData>
    <row r="1" spans="1:10" ht="15" customHeight="1" thickBot="1" x14ac:dyDescent="0.3">
      <c r="A1" s="58" t="s">
        <v>7</v>
      </c>
      <c r="B1" s="58"/>
      <c r="C1" s="59"/>
      <c r="D1" s="60" t="str">
        <f>HOMESHEET!C3&amp;"-"&amp;HOMESHEET!C4</f>
        <v>-</v>
      </c>
      <c r="E1" s="40"/>
      <c r="F1" s="40"/>
      <c r="G1" s="40"/>
      <c r="H1" s="40"/>
      <c r="I1" s="40"/>
      <c r="J1" s="40"/>
    </row>
    <row r="2" spans="1:10" ht="15" customHeight="1" thickBot="1" x14ac:dyDescent="0.3">
      <c r="A2" s="58"/>
      <c r="B2" s="58"/>
      <c r="C2" s="59"/>
      <c r="D2" s="60"/>
      <c r="E2" s="40"/>
      <c r="F2" s="40"/>
      <c r="G2" s="40"/>
      <c r="H2" s="40"/>
      <c r="I2" s="40"/>
      <c r="J2" s="40"/>
    </row>
    <row r="3" spans="1:10" thickBot="1" x14ac:dyDescent="0.3">
      <c r="A3" s="41" t="s">
        <v>10</v>
      </c>
      <c r="B3" s="41" t="s">
        <v>11</v>
      </c>
      <c r="C3" s="41" t="s">
        <v>12</v>
      </c>
      <c r="D3" s="41" t="s">
        <v>13</v>
      </c>
    </row>
    <row r="4" spans="1:10" thickBot="1" x14ac:dyDescent="0.3"/>
    <row r="5" spans="1:10" thickBot="1" x14ac:dyDescent="0.3"/>
    <row r="6" spans="1:10" thickBot="1" x14ac:dyDescent="0.3"/>
    <row r="7" spans="1:10" thickBot="1" x14ac:dyDescent="0.3"/>
    <row r="8" spans="1:10" thickBot="1" x14ac:dyDescent="0.3"/>
    <row r="9" spans="1:10" thickBot="1" x14ac:dyDescent="0.3"/>
    <row r="10" spans="1:10" thickBot="1" x14ac:dyDescent="0.3"/>
    <row r="11" spans="1:10" thickBot="1" x14ac:dyDescent="0.3"/>
    <row r="12" spans="1:10" thickBot="1" x14ac:dyDescent="0.3"/>
    <row r="13" spans="1:10" thickBot="1" x14ac:dyDescent="0.3">
      <c r="F13" s="42"/>
    </row>
    <row r="14" spans="1:10" thickBot="1" x14ac:dyDescent="0.3"/>
    <row r="15" spans="1:10" thickBot="1" x14ac:dyDescent="0.3"/>
    <row r="16" spans="1:10" thickBot="1" x14ac:dyDescent="0.3"/>
    <row r="17" s="41" customFormat="1" thickBot="1" x14ac:dyDescent="0.3"/>
    <row r="18" s="41" customFormat="1" thickBot="1" x14ac:dyDescent="0.3"/>
    <row r="19" s="41" customFormat="1" thickBot="1" x14ac:dyDescent="0.3"/>
    <row r="20" s="41" customFormat="1" thickBot="1" x14ac:dyDescent="0.3"/>
    <row r="21" s="41" customFormat="1" hidden="1" thickBot="1" x14ac:dyDescent="0.3"/>
  </sheetData>
  <mergeCells count="2">
    <mergeCell ref="A1:C2"/>
    <mergeCell ref="D1:D2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10D924-4DF4-4BEF-87ED-228A0718DFD5}">
          <x14:formula1>
            <xm:f>Sheet5!$A$2:$A$6</xm:f>
          </x14:formula1>
          <xm:sqref>K4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9F6E3-F487-4F56-85E2-942A85F5129C}">
  <sheetPr codeName="Sheet4"/>
  <dimension ref="A1:N20"/>
  <sheetViews>
    <sheetView topLeftCell="A3" zoomScale="115" zoomScaleNormal="115" workbookViewId="0">
      <selection activeCell="A19" sqref="A19"/>
    </sheetView>
  </sheetViews>
  <sheetFormatPr defaultColWidth="0" defaultRowHeight="15.75" zeroHeight="1" thickBottom="1" x14ac:dyDescent="0.3"/>
  <cols>
    <col min="1" max="13" width="15.7109375" style="43" customWidth="1"/>
    <col min="14" max="14" width="15.7109375" style="43" hidden="1" customWidth="1"/>
    <col min="15" max="16384" width="9.140625" style="43" hidden="1"/>
  </cols>
  <sheetData>
    <row r="1" spans="1:14" ht="15" customHeight="1" thickBot="1" x14ac:dyDescent="0.3">
      <c r="A1" s="46"/>
      <c r="B1" s="46"/>
      <c r="C1" s="61" t="s">
        <v>7</v>
      </c>
      <c r="D1" s="62"/>
      <c r="E1" s="62"/>
      <c r="F1" s="62"/>
      <c r="G1" s="62"/>
      <c r="H1" s="63"/>
      <c r="I1" s="64" t="str">
        <f>HOMESHEET!C3&amp;"-"&amp;HOMESHEET!C4</f>
        <v>-</v>
      </c>
      <c r="J1" s="65"/>
      <c r="K1" s="65"/>
      <c r="L1" s="65"/>
      <c r="M1" s="65"/>
      <c r="N1" s="44"/>
    </row>
    <row r="2" spans="1:14" ht="15" customHeight="1" thickBot="1" x14ac:dyDescent="0.3">
      <c r="A2" s="47"/>
      <c r="B2" s="47"/>
      <c r="C2" s="61"/>
      <c r="D2" s="62"/>
      <c r="E2" s="62"/>
      <c r="F2" s="62"/>
      <c r="G2" s="62"/>
      <c r="H2" s="63"/>
      <c r="I2" s="64"/>
      <c r="J2" s="65"/>
      <c r="K2" s="65"/>
      <c r="L2" s="65"/>
      <c r="M2" s="65"/>
      <c r="N2" s="44"/>
    </row>
    <row r="3" spans="1:14" thickBot="1" x14ac:dyDescent="0.3">
      <c r="A3" s="45" t="s">
        <v>11</v>
      </c>
      <c r="B3" s="45" t="s">
        <v>12</v>
      </c>
      <c r="C3" s="43" t="s">
        <v>31</v>
      </c>
      <c r="D3" s="43" t="s">
        <v>10</v>
      </c>
      <c r="E3" s="43" t="s">
        <v>14</v>
      </c>
      <c r="F3" s="43" t="s">
        <v>15</v>
      </c>
      <c r="G3" s="43" t="s">
        <v>16</v>
      </c>
      <c r="H3" s="43" t="s">
        <v>17</v>
      </c>
      <c r="I3" s="43" t="s">
        <v>18</v>
      </c>
      <c r="J3" s="43" t="s">
        <v>19</v>
      </c>
      <c r="K3" s="43" t="s">
        <v>20</v>
      </c>
      <c r="L3" s="43" t="s">
        <v>21</v>
      </c>
      <c r="M3" s="43" t="s">
        <v>22</v>
      </c>
    </row>
    <row r="4" spans="1:14" thickBot="1" x14ac:dyDescent="0.3">
      <c r="A4" s="43">
        <f>StudentSheet!B4:$B$20</f>
        <v>0</v>
      </c>
      <c r="B4" s="43">
        <f>StudentSheet!C4:$C$20</f>
        <v>0</v>
      </c>
      <c r="C4" s="43">
        <f>StudentSheet!D4:$D$20</f>
        <v>0</v>
      </c>
      <c r="D4" s="43">
        <f>StudentSheet!A4:$A$20</f>
        <v>0</v>
      </c>
    </row>
    <row r="5" spans="1:14" thickBot="1" x14ac:dyDescent="0.3">
      <c r="A5" s="43">
        <f>StudentSheet!B5:$B$20</f>
        <v>0</v>
      </c>
      <c r="B5" s="43">
        <f>StudentSheet!C5:$C$20</f>
        <v>0</v>
      </c>
      <c r="C5" s="43">
        <f>StudentSheet!D5:$D$20</f>
        <v>0</v>
      </c>
      <c r="D5" s="43">
        <f>StudentSheet!A5:$A$20</f>
        <v>0</v>
      </c>
    </row>
    <row r="6" spans="1:14" thickBot="1" x14ac:dyDescent="0.3">
      <c r="A6" s="43">
        <f>StudentSheet!B6:$B$20</f>
        <v>0</v>
      </c>
      <c r="B6" s="43">
        <f>StudentSheet!C6:$C$20</f>
        <v>0</v>
      </c>
      <c r="C6" s="43">
        <f>StudentSheet!D6:$D$20</f>
        <v>0</v>
      </c>
      <c r="D6" s="43">
        <f>StudentSheet!A6:$A$20</f>
        <v>0</v>
      </c>
    </row>
    <row r="7" spans="1:14" thickBot="1" x14ac:dyDescent="0.3">
      <c r="A7" s="43">
        <f>StudentSheet!B7:$B$20</f>
        <v>0</v>
      </c>
      <c r="B7" s="43">
        <f>StudentSheet!C7:$C$20</f>
        <v>0</v>
      </c>
      <c r="C7" s="43">
        <f>StudentSheet!D7:$D$20</f>
        <v>0</v>
      </c>
      <c r="D7" s="43">
        <f>StudentSheet!A7:$A$20</f>
        <v>0</v>
      </c>
    </row>
    <row r="8" spans="1:14" thickBot="1" x14ac:dyDescent="0.3">
      <c r="A8" s="43">
        <f>StudentSheet!B8:$B$20</f>
        <v>0</v>
      </c>
      <c r="B8" s="43">
        <f>StudentSheet!C8:$C$20</f>
        <v>0</v>
      </c>
      <c r="C8" s="43">
        <f>StudentSheet!D8:$D$20</f>
        <v>0</v>
      </c>
      <c r="D8" s="43">
        <f>StudentSheet!A8:$A$20</f>
        <v>0</v>
      </c>
    </row>
    <row r="9" spans="1:14" thickBot="1" x14ac:dyDescent="0.3">
      <c r="A9" s="43">
        <f>StudentSheet!B9:$B$20</f>
        <v>0</v>
      </c>
      <c r="B9" s="43">
        <f>StudentSheet!C9:$C$20</f>
        <v>0</v>
      </c>
      <c r="C9" s="43">
        <f>StudentSheet!D9:$D$20</f>
        <v>0</v>
      </c>
      <c r="D9" s="43">
        <f>StudentSheet!A9:$A$20</f>
        <v>0</v>
      </c>
    </row>
    <row r="10" spans="1:14" thickBot="1" x14ac:dyDescent="0.3">
      <c r="A10" s="43">
        <f>StudentSheet!B10:$B$20</f>
        <v>0</v>
      </c>
      <c r="B10" s="43">
        <f>StudentSheet!C10:$C$20</f>
        <v>0</v>
      </c>
      <c r="C10" s="43">
        <f>StudentSheet!D10:$D$20</f>
        <v>0</v>
      </c>
      <c r="D10" s="43">
        <f>StudentSheet!A10:$A$20</f>
        <v>0</v>
      </c>
    </row>
    <row r="11" spans="1:14" thickBot="1" x14ac:dyDescent="0.3">
      <c r="A11" s="43">
        <f>StudentSheet!B11:$B$20</f>
        <v>0</v>
      </c>
      <c r="B11" s="43">
        <f>StudentSheet!C11:$C$20</f>
        <v>0</v>
      </c>
      <c r="C11" s="43">
        <f>StudentSheet!D11:$D$20</f>
        <v>0</v>
      </c>
      <c r="D11" s="43">
        <f>StudentSheet!A11:$A$20</f>
        <v>0</v>
      </c>
    </row>
    <row r="12" spans="1:14" thickBot="1" x14ac:dyDescent="0.3">
      <c r="A12" s="43">
        <f>StudentSheet!B12:$B$20</f>
        <v>0</v>
      </c>
      <c r="B12" s="43">
        <f>StudentSheet!C12:$C$20</f>
        <v>0</v>
      </c>
      <c r="C12" s="43">
        <f>StudentSheet!D12:$D$20</f>
        <v>0</v>
      </c>
      <c r="D12" s="43">
        <f>StudentSheet!A12:$A$20</f>
        <v>0</v>
      </c>
    </row>
    <row r="13" spans="1:14" thickBot="1" x14ac:dyDescent="0.3">
      <c r="A13" s="43">
        <f>StudentSheet!B13:$B$20</f>
        <v>0</v>
      </c>
      <c r="B13" s="43">
        <f>StudentSheet!C13:$C$20</f>
        <v>0</v>
      </c>
      <c r="C13" s="43">
        <f>StudentSheet!D13:$D$20</f>
        <v>0</v>
      </c>
      <c r="D13" s="43">
        <f>StudentSheet!A13:$A$20</f>
        <v>0</v>
      </c>
    </row>
    <row r="14" spans="1:14" thickBot="1" x14ac:dyDescent="0.3">
      <c r="A14" s="43">
        <f>StudentSheet!B14:$B$20</f>
        <v>0</v>
      </c>
      <c r="B14" s="43">
        <f>StudentSheet!C14:$C$20</f>
        <v>0</v>
      </c>
      <c r="C14" s="43">
        <f>StudentSheet!D14:$D$20</f>
        <v>0</v>
      </c>
      <c r="D14" s="43">
        <f>StudentSheet!A14:$A$20</f>
        <v>0</v>
      </c>
    </row>
    <row r="15" spans="1:14" thickBot="1" x14ac:dyDescent="0.3">
      <c r="A15" s="43">
        <f>StudentSheet!B15:$B$20</f>
        <v>0</v>
      </c>
      <c r="B15" s="43">
        <f>StudentSheet!C15:$C$20</f>
        <v>0</v>
      </c>
      <c r="C15" s="43">
        <f>StudentSheet!D15:$D$20</f>
        <v>0</v>
      </c>
      <c r="D15" s="43">
        <f>StudentSheet!A15:$A$20</f>
        <v>0</v>
      </c>
    </row>
    <row r="16" spans="1:14" thickBot="1" x14ac:dyDescent="0.3">
      <c r="A16" s="43">
        <f>StudentSheet!B16:$B$20</f>
        <v>0</v>
      </c>
      <c r="B16" s="43">
        <f>StudentSheet!C16:$C$20</f>
        <v>0</v>
      </c>
      <c r="C16" s="43">
        <f>StudentSheet!D16:$D$20</f>
        <v>0</v>
      </c>
      <c r="D16" s="43">
        <f>StudentSheet!A16:$A$20</f>
        <v>0</v>
      </c>
    </row>
    <row r="17" spans="1:4" thickBot="1" x14ac:dyDescent="0.3">
      <c r="A17" s="43">
        <f>StudentSheet!B17:$B$20</f>
        <v>0</v>
      </c>
      <c r="B17" s="43">
        <f>StudentSheet!C17:$C$20</f>
        <v>0</v>
      </c>
      <c r="C17" s="43">
        <f>StudentSheet!D17:$D$20</f>
        <v>0</v>
      </c>
      <c r="D17" s="43">
        <f>StudentSheet!A17:$A$20</f>
        <v>0</v>
      </c>
    </row>
    <row r="18" spans="1:4" thickBot="1" x14ac:dyDescent="0.3">
      <c r="A18" s="43">
        <f>StudentSheet!B18:$B$20</f>
        <v>0</v>
      </c>
      <c r="B18" s="43">
        <f>StudentSheet!C18:$C$20</f>
        <v>0</v>
      </c>
      <c r="C18" s="43">
        <f>StudentSheet!D18:$D$20</f>
        <v>0</v>
      </c>
      <c r="D18" s="43">
        <f>StudentSheet!A18:$A$20</f>
        <v>0</v>
      </c>
    </row>
    <row r="19" spans="1:4" thickBot="1" x14ac:dyDescent="0.3">
      <c r="A19" s="43">
        <f>StudentSheet!B19:$B$20</f>
        <v>0</v>
      </c>
      <c r="B19" s="43">
        <f>StudentSheet!C19:$C$20</f>
        <v>0</v>
      </c>
      <c r="C19" s="43">
        <f>StudentSheet!D19:$D$20</f>
        <v>0</v>
      </c>
      <c r="D19" s="43">
        <f>StudentSheet!A19:$A$20</f>
        <v>0</v>
      </c>
    </row>
    <row r="20" spans="1:4" thickBot="1" x14ac:dyDescent="0.3">
      <c r="A20" s="43">
        <f>StudentSheet!B20:$B$20</f>
        <v>0</v>
      </c>
      <c r="B20" s="43">
        <f>StudentSheet!C20:$C$20</f>
        <v>0</v>
      </c>
      <c r="C20" s="43">
        <f>StudentSheet!D20:$D$20</f>
        <v>0</v>
      </c>
      <c r="D20" s="43">
        <f>StudentSheet!A20:$A$20</f>
        <v>0</v>
      </c>
    </row>
  </sheetData>
  <mergeCells count="2">
    <mergeCell ref="C1:H2"/>
    <mergeCell ref="I1:M2"/>
  </mergeCells>
  <pageMargins left="0.7" right="0.7" top="0.75" bottom="0.75" header="0.3" footer="0.3"/>
  <pageSetup paperSize="9" orientation="portrait" r:id="rId1"/>
  <ignoredErrors>
    <ignoredError sqref="A5:A7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184762-6816-425B-8E5C-EAE1430883B6}">
          <x14:formula1>
            <xm:f>Sheet5!$A$2:$A$6</xm:f>
          </x14:formula1>
          <xm:sqref>K4:M632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7F6A9-37D7-443E-8AD9-45A778A03383}">
  <sheetPr codeName="Sheet5"/>
  <dimension ref="A2:A6"/>
  <sheetViews>
    <sheetView workbookViewId="0">
      <selection activeCell="D1" sqref="D1"/>
    </sheetView>
  </sheetViews>
  <sheetFormatPr defaultRowHeight="15" x14ac:dyDescent="0.25"/>
  <sheetData>
    <row r="2" spans="1:1" x14ac:dyDescent="0.25">
      <c r="A2" t="s">
        <v>23</v>
      </c>
    </row>
    <row r="3" spans="1:1" x14ac:dyDescent="0.25">
      <c r="A3" t="s">
        <v>9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HOMESHEET</vt:lpstr>
      <vt:lpstr>REPORT</vt:lpstr>
      <vt:lpstr>StudentSheet</vt:lpstr>
      <vt:lpstr>Marks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Online Class</dc:creator>
  <cp:lastModifiedBy>Online Class</cp:lastModifiedBy>
  <dcterms:created xsi:type="dcterms:W3CDTF">2021-01-21T16:24:56Z</dcterms:created>
  <dcterms:modified xsi:type="dcterms:W3CDTF">2021-01-22T12:04:16Z</dcterms:modified>
</cp:coreProperties>
</file>